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ston\My Drive\OSLA\bpsk\ww_uhd\host\osla-host\interference\"/>
    </mc:Choice>
  </mc:AlternateContent>
  <xr:revisionPtr revIDLastSave="0" documentId="13_ncr:1_{4DE1DE9B-AC7E-41D5-9619-D317B15328DF}" xr6:coauthVersionLast="47" xr6:coauthVersionMax="47" xr10:uidLastSave="{00000000-0000-0000-0000-000000000000}"/>
  <bookViews>
    <workbookView xWindow="-195" yWindow="-195" windowWidth="29190" windowHeight="15870" xr2:uid="{743EC7D3-8A0B-4634-9BA0-084A929C4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" i="1" l="1"/>
  <c r="Q20" i="1"/>
  <c r="Q21" i="1"/>
  <c r="Q22" i="1"/>
  <c r="Q23" i="1"/>
  <c r="Q24" i="1"/>
  <c r="W15" i="1" a="1"/>
  <c r="W15" i="1" s="1"/>
  <c r="Q18" i="1"/>
  <c r="Q17" i="1"/>
  <c r="Q15" i="1"/>
  <c r="Q14" i="1"/>
  <c r="V5" i="1" a="1"/>
  <c r="V5" i="1" s="1"/>
  <c r="T5" i="1"/>
  <c r="S5" i="1"/>
  <c r="Q31" i="1"/>
  <c r="Q16" i="1"/>
  <c r="S14" i="1" s="1"/>
  <c r="Q19" i="1"/>
  <c r="Q25" i="1"/>
  <c r="Q26" i="1"/>
  <c r="Q27" i="1"/>
  <c r="Q28" i="1"/>
  <c r="Q29" i="1"/>
  <c r="Q30" i="1"/>
  <c r="Q13" i="1"/>
  <c r="Q5" i="1"/>
  <c r="Q6" i="1"/>
  <c r="Q7" i="1"/>
  <c r="Q8" i="1"/>
  <c r="Q9" i="1"/>
  <c r="Q10" i="1"/>
  <c r="Q1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2" i="1"/>
  <c r="T1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<sst xmlns="http://schemas.openxmlformats.org/spreadsheetml/2006/main" count="29" uniqueCount="18">
  <si>
    <t>ch gain</t>
  </si>
  <si>
    <t>tx-freq</t>
  </si>
  <si>
    <t>P-received (dbm)</t>
  </si>
  <si>
    <t>P-target (dbm)</t>
  </si>
  <si>
    <t>P-measured (dbm)</t>
  </si>
  <si>
    <t>lognorm var</t>
  </si>
  <si>
    <t>NA</t>
  </si>
  <si>
    <t>negative infinity</t>
  </si>
  <si>
    <t>error</t>
  </si>
  <si>
    <t>b_hat</t>
  </si>
  <si>
    <t>standard error</t>
  </si>
  <si>
    <t>Linear regression</t>
  </si>
  <si>
    <t>m,b</t>
  </si>
  <si>
    <t>standard error in m,b</t>
  </si>
  <si>
    <t>r, std error y</t>
  </si>
  <si>
    <t>standard error for all data</t>
  </si>
  <si>
    <t>standard error for one setting</t>
  </si>
  <si>
    <t>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</si>
</sst>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A64B-89E5-4A36-B819-60F705D22E1C}">
  <dimension ref="B4:X37"/>
  <sheetViews>
    <sheetView tabSelected="1" topLeftCell="A7" workbookViewId="0">
      <selection activeCell="J34" sqref="J34"/>
    </sheetView>
  </sheetViews>
  <sheetFormatPr defaultRowHeight="14.25" x14ac:dyDescent="0.45"/>
  <cols>
    <col min="20" max="20" width="14.1328125" customWidth="1"/>
  </cols>
  <sheetData>
    <row r="4" spans="2:24" x14ac:dyDescent="0.45">
      <c r="B4" t="s">
        <v>0</v>
      </c>
      <c r="C4" t="s">
        <v>1</v>
      </c>
      <c r="D4" t="s">
        <v>2</v>
      </c>
      <c r="E4" t="s">
        <v>5</v>
      </c>
      <c r="F4" t="s">
        <v>3</v>
      </c>
      <c r="G4" t="s">
        <v>4</v>
      </c>
      <c r="H4" t="s">
        <v>8</v>
      </c>
      <c r="K4" t="s">
        <v>0</v>
      </c>
      <c r="L4" t="s">
        <v>1</v>
      </c>
      <c r="M4" t="s">
        <v>2</v>
      </c>
      <c r="N4" t="s">
        <v>5</v>
      </c>
      <c r="O4" t="s">
        <v>3</v>
      </c>
      <c r="P4" t="s">
        <v>4</v>
      </c>
      <c r="Q4" t="s">
        <v>8</v>
      </c>
      <c r="S4" t="s">
        <v>9</v>
      </c>
      <c r="T4" t="s">
        <v>10</v>
      </c>
      <c r="V4" t="s">
        <v>11</v>
      </c>
    </row>
    <row r="5" spans="2:24" x14ac:dyDescent="0.45">
      <c r="B5">
        <v>25</v>
      </c>
      <c r="C5" s="1">
        <v>2200000000</v>
      </c>
      <c r="D5">
        <v>-47.68</v>
      </c>
      <c r="E5">
        <v>0</v>
      </c>
      <c r="F5">
        <v>-120</v>
      </c>
      <c r="G5">
        <v>-119.41</v>
      </c>
      <c r="H5">
        <f t="shared" ref="H5:H31" si="0">F5-G5</f>
        <v>-0.59000000000000341</v>
      </c>
      <c r="K5">
        <v>30</v>
      </c>
      <c r="L5" s="1">
        <v>2200000000</v>
      </c>
      <c r="M5">
        <v>-43.69</v>
      </c>
      <c r="N5">
        <v>0</v>
      </c>
      <c r="O5">
        <v>-90</v>
      </c>
      <c r="P5" s="2">
        <v>-89.162300000000002</v>
      </c>
      <c r="Q5" s="2">
        <f t="shared" ref="Q5:Q13" si="1">O5-P5</f>
        <v>-0.83769999999999811</v>
      </c>
      <c r="S5" s="2">
        <f>AVERAGE(Q5:Q10)</f>
        <v>-1.021299999999999</v>
      </c>
      <c r="T5">
        <f>_xlfn.STDEV.S(Q5:Q10)</f>
        <v>0.13942094534179419</v>
      </c>
      <c r="U5" t="s">
        <v>12</v>
      </c>
      <c r="V5" cm="1">
        <f t="array" ref="V5:W9">LINEST(P5:P10,O5:O10,TRUE,TRUE)</f>
        <v>0.98566628571428594</v>
      </c>
      <c r="W5">
        <v>-0.44790571428569592</v>
      </c>
    </row>
    <row r="6" spans="2:24" x14ac:dyDescent="0.45">
      <c r="B6">
        <v>25</v>
      </c>
      <c r="C6" s="1">
        <v>2200000000</v>
      </c>
      <c r="D6">
        <v>-47.68</v>
      </c>
      <c r="E6">
        <v>2.5</v>
      </c>
      <c r="F6">
        <v>-120</v>
      </c>
      <c r="G6">
        <v>-118.94</v>
      </c>
      <c r="H6">
        <f t="shared" si="0"/>
        <v>-1.0600000000000023</v>
      </c>
      <c r="K6">
        <v>30</v>
      </c>
      <c r="L6" s="1">
        <v>2200000000</v>
      </c>
      <c r="M6">
        <v>-43.69</v>
      </c>
      <c r="N6">
        <v>0</v>
      </c>
      <c r="O6">
        <v>-95</v>
      </c>
      <c r="P6" s="2">
        <v>-94.037899999999993</v>
      </c>
      <c r="Q6" s="2">
        <f t="shared" si="1"/>
        <v>-0.96210000000000662</v>
      </c>
      <c r="U6" t="s">
        <v>13</v>
      </c>
      <c r="V6">
        <v>2.0430058687121401E-3</v>
      </c>
      <c r="W6">
        <v>0.21013352397131441</v>
      </c>
    </row>
    <row r="7" spans="2:24" x14ac:dyDescent="0.45">
      <c r="B7">
        <v>25</v>
      </c>
      <c r="C7" s="1">
        <v>2200000000</v>
      </c>
      <c r="D7">
        <v>-47.68</v>
      </c>
      <c r="E7">
        <v>5</v>
      </c>
      <c r="F7">
        <v>-120</v>
      </c>
      <c r="G7">
        <v>-117.57</v>
      </c>
      <c r="H7">
        <f t="shared" si="0"/>
        <v>-2.4300000000000068</v>
      </c>
      <c r="K7">
        <v>30</v>
      </c>
      <c r="L7" s="1">
        <v>2200000000</v>
      </c>
      <c r="M7">
        <v>-43.69</v>
      </c>
      <c r="N7">
        <v>0</v>
      </c>
      <c r="O7">
        <v>-100</v>
      </c>
      <c r="P7" s="2">
        <v>-99.081400000000002</v>
      </c>
      <c r="Q7" s="2">
        <f t="shared" si="1"/>
        <v>-0.91859999999999786</v>
      </c>
      <c r="U7" t="s">
        <v>14</v>
      </c>
      <c r="V7">
        <v>0.99998281569577563</v>
      </c>
      <c r="W7">
        <v>4.2732533608149277E-2</v>
      </c>
    </row>
    <row r="8" spans="2:24" x14ac:dyDescent="0.45">
      <c r="H8">
        <f t="shared" si="0"/>
        <v>0</v>
      </c>
      <c r="K8">
        <v>30</v>
      </c>
      <c r="L8" s="1">
        <v>2200000000</v>
      </c>
      <c r="M8">
        <v>-43.69</v>
      </c>
      <c r="N8">
        <v>0</v>
      </c>
      <c r="O8">
        <v>-105</v>
      </c>
      <c r="P8" s="2">
        <v>-103.9388</v>
      </c>
      <c r="Q8" s="2">
        <f t="shared" si="1"/>
        <v>-1.0611999999999995</v>
      </c>
      <c r="V8">
        <v>232766.55316154539</v>
      </c>
      <c r="W8">
        <v>4</v>
      </c>
    </row>
    <row r="9" spans="2:24" x14ac:dyDescent="0.45">
      <c r="B9">
        <v>25</v>
      </c>
      <c r="C9" s="1">
        <v>2200000000</v>
      </c>
      <c r="D9">
        <v>-47.68</v>
      </c>
      <c r="E9">
        <v>0</v>
      </c>
      <c r="F9">
        <v>-101.23</v>
      </c>
      <c r="G9">
        <v>-101.14</v>
      </c>
      <c r="H9">
        <f t="shared" si="0"/>
        <v>-9.0000000000003411E-2</v>
      </c>
      <c r="K9">
        <v>30</v>
      </c>
      <c r="L9" s="1">
        <v>2200000000</v>
      </c>
      <c r="M9">
        <v>-43.69</v>
      </c>
      <c r="N9">
        <v>0</v>
      </c>
      <c r="O9">
        <v>-110</v>
      </c>
      <c r="P9" s="2">
        <v>-108.8498</v>
      </c>
      <c r="Q9" s="2">
        <f t="shared" si="1"/>
        <v>-1.1501999999999981</v>
      </c>
      <c r="V9">
        <v>425.04788672228597</v>
      </c>
      <c r="W9">
        <v>7.3042777142864309E-3</v>
      </c>
    </row>
    <row r="10" spans="2:24" x14ac:dyDescent="0.45">
      <c r="B10">
        <v>25</v>
      </c>
      <c r="C10" s="1">
        <v>2200000000</v>
      </c>
      <c r="D10">
        <v>-47.68</v>
      </c>
      <c r="E10">
        <v>0</v>
      </c>
      <c r="F10">
        <v>-106.23</v>
      </c>
      <c r="G10">
        <v>-106.33</v>
      </c>
      <c r="H10">
        <f t="shared" si="0"/>
        <v>9.9999999999994316E-2</v>
      </c>
      <c r="K10">
        <v>30</v>
      </c>
      <c r="L10" s="1">
        <v>2200000000</v>
      </c>
      <c r="M10">
        <v>-43.69</v>
      </c>
      <c r="N10">
        <v>0</v>
      </c>
      <c r="O10">
        <v>-115</v>
      </c>
      <c r="P10" s="2">
        <v>-113.80200000000001</v>
      </c>
      <c r="Q10" s="2">
        <f t="shared" si="1"/>
        <v>-1.1979999999999933</v>
      </c>
    </row>
    <row r="11" spans="2:24" x14ac:dyDescent="0.45">
      <c r="B11">
        <v>25</v>
      </c>
      <c r="C11" s="1">
        <v>2200000000</v>
      </c>
      <c r="D11">
        <v>-47.68</v>
      </c>
      <c r="E11">
        <v>0</v>
      </c>
      <c r="F11">
        <v>-111.23</v>
      </c>
      <c r="G11">
        <v>-111.32</v>
      </c>
      <c r="H11">
        <f t="shared" si="0"/>
        <v>8.99999999999892E-2</v>
      </c>
      <c r="K11">
        <v>30</v>
      </c>
      <c r="L11" s="1">
        <v>2200000000</v>
      </c>
      <c r="M11">
        <v>-43.69</v>
      </c>
      <c r="N11">
        <v>0</v>
      </c>
      <c r="O11">
        <v>-120</v>
      </c>
      <c r="P11" s="2">
        <v>-118.55629999999999</v>
      </c>
      <c r="Q11" s="2">
        <f t="shared" si="1"/>
        <v>-1.4437000000000069</v>
      </c>
    </row>
    <row r="12" spans="2:24" x14ac:dyDescent="0.45">
      <c r="B12">
        <v>25</v>
      </c>
      <c r="C12" s="1">
        <v>2200000000</v>
      </c>
      <c r="D12">
        <v>-47.68</v>
      </c>
      <c r="E12">
        <v>0</v>
      </c>
      <c r="F12">
        <v>-116.23</v>
      </c>
      <c r="G12">
        <v>-115.93</v>
      </c>
      <c r="H12">
        <f t="shared" si="0"/>
        <v>-0.29999999999999716</v>
      </c>
      <c r="Q12" s="2"/>
    </row>
    <row r="13" spans="2:24" x14ac:dyDescent="0.45">
      <c r="B13">
        <v>25</v>
      </c>
      <c r="C13" s="1">
        <v>2200000000</v>
      </c>
      <c r="D13">
        <v>-47.68</v>
      </c>
      <c r="E13">
        <v>0</v>
      </c>
      <c r="F13">
        <v>-121.23</v>
      </c>
      <c r="G13">
        <v>-120.36</v>
      </c>
      <c r="H13">
        <f t="shared" si="0"/>
        <v>-0.87000000000000455</v>
      </c>
      <c r="K13">
        <v>30</v>
      </c>
      <c r="L13" s="1">
        <v>2200000000</v>
      </c>
      <c r="M13">
        <v>-43.69</v>
      </c>
      <c r="N13">
        <v>5</v>
      </c>
      <c r="O13">
        <v>-90</v>
      </c>
      <c r="P13">
        <v>-86.270099999999999</v>
      </c>
      <c r="Q13" s="2">
        <f>O13-P13</f>
        <v>-3.7299000000000007</v>
      </c>
      <c r="S13" t="s">
        <v>9</v>
      </c>
      <c r="T13" t="s">
        <v>15</v>
      </c>
    </row>
    <row r="14" spans="2:24" x14ac:dyDescent="0.45">
      <c r="B14">
        <v>25</v>
      </c>
      <c r="C14" s="1">
        <v>2200000000</v>
      </c>
      <c r="D14">
        <v>-47.68</v>
      </c>
      <c r="E14">
        <v>0</v>
      </c>
      <c r="F14">
        <v>-126.23</v>
      </c>
      <c r="G14">
        <v>-124.2</v>
      </c>
      <c r="H14">
        <f t="shared" si="0"/>
        <v>-2.0300000000000011</v>
      </c>
      <c r="K14">
        <v>30</v>
      </c>
      <c r="L14" s="1">
        <v>2200000000</v>
      </c>
      <c r="M14">
        <v>-43.69</v>
      </c>
      <c r="N14">
        <v>5</v>
      </c>
      <c r="O14">
        <v>-92</v>
      </c>
      <c r="P14" s="2">
        <v>-88.749899999999997</v>
      </c>
      <c r="Q14" s="2">
        <f>O14-P14</f>
        <v>-3.2501000000000033</v>
      </c>
      <c r="S14" s="2">
        <f>AVERAGE(Q13:Q27)</f>
        <v>-3.3202333333333351</v>
      </c>
      <c r="T14">
        <f>_xlfn.STDEV.S(Q13:Q27)</f>
        <v>0.27169701262006268</v>
      </c>
    </row>
    <row r="15" spans="2:24" x14ac:dyDescent="0.45">
      <c r="B15">
        <v>25</v>
      </c>
      <c r="C15" s="1">
        <v>2200000000</v>
      </c>
      <c r="D15">
        <v>-47.68</v>
      </c>
      <c r="E15">
        <v>0</v>
      </c>
      <c r="F15">
        <v>-131.22999999999999</v>
      </c>
      <c r="G15">
        <v>-126.55</v>
      </c>
      <c r="H15">
        <f t="shared" si="0"/>
        <v>-4.6799999999999926</v>
      </c>
      <c r="K15">
        <v>30</v>
      </c>
      <c r="L15" s="1">
        <v>2200000000</v>
      </c>
      <c r="M15">
        <v>-43.69</v>
      </c>
      <c r="N15">
        <v>5</v>
      </c>
      <c r="O15">
        <v>-94</v>
      </c>
      <c r="P15" s="2">
        <v>-90.885800000000003</v>
      </c>
      <c r="Q15" s="2">
        <f>O15-P15</f>
        <v>-3.1141999999999967</v>
      </c>
      <c r="T15" t="s">
        <v>16</v>
      </c>
      <c r="V15" t="s">
        <v>12</v>
      </c>
      <c r="W15" cm="1">
        <f t="array" ref="W15:X19">LINEST(P13:P27,O13:O27,TRUE,TRUE)</f>
        <v>1.0056786447638599</v>
      </c>
      <c r="X15">
        <v>3.8869620807665513</v>
      </c>
    </row>
    <row r="16" spans="2:24" x14ac:dyDescent="0.45">
      <c r="B16">
        <v>25</v>
      </c>
      <c r="C16" s="1">
        <v>2200000000</v>
      </c>
      <c r="D16">
        <v>-47.68</v>
      </c>
      <c r="E16">
        <v>0</v>
      </c>
      <c r="F16">
        <v>-136.22999999999999</v>
      </c>
      <c r="G16">
        <v>-127.46</v>
      </c>
      <c r="H16">
        <f t="shared" si="0"/>
        <v>-8.769999999999996</v>
      </c>
      <c r="K16">
        <v>30</v>
      </c>
      <c r="L16" s="1">
        <v>2200000000</v>
      </c>
      <c r="M16">
        <v>-43.69</v>
      </c>
      <c r="N16">
        <v>5</v>
      </c>
      <c r="O16">
        <v>-95</v>
      </c>
      <c r="P16">
        <v>-91.4846</v>
      </c>
      <c r="Q16" s="2">
        <f t="shared" ref="Q16:Q23" si="2">O16-P16</f>
        <v>-3.5153999999999996</v>
      </c>
      <c r="R16" s="2">
        <v>-85.773600000000002</v>
      </c>
      <c r="T16">
        <f>_xlfn.STDEV.S(Q19:Q24)</f>
        <v>0.18026204259355388</v>
      </c>
      <c r="V16" t="s">
        <v>13</v>
      </c>
      <c r="W16">
        <v>1.1556489004512043E-2</v>
      </c>
      <c r="X16">
        <v>1.1555911165615482</v>
      </c>
    </row>
    <row r="17" spans="2:24" x14ac:dyDescent="0.45">
      <c r="B17">
        <v>25</v>
      </c>
      <c r="C17" s="1">
        <v>2200000000</v>
      </c>
      <c r="D17">
        <v>-47.68</v>
      </c>
      <c r="E17">
        <v>0</v>
      </c>
      <c r="F17">
        <v>-141.22999999999999</v>
      </c>
      <c r="G17">
        <v>-127.88</v>
      </c>
      <c r="H17">
        <f t="shared" si="0"/>
        <v>-13.349999999999994</v>
      </c>
      <c r="K17">
        <v>30</v>
      </c>
      <c r="L17" s="1">
        <v>2200000000</v>
      </c>
      <c r="M17">
        <v>-43.69</v>
      </c>
      <c r="N17">
        <v>5</v>
      </c>
      <c r="O17">
        <v>-97</v>
      </c>
      <c r="P17">
        <v>-93.177899999999994</v>
      </c>
      <c r="Q17" s="2">
        <f t="shared" si="2"/>
        <v>-3.822100000000006</v>
      </c>
      <c r="V17" t="s">
        <v>14</v>
      </c>
      <c r="W17">
        <v>0.99828631169438431</v>
      </c>
      <c r="X17">
        <v>0.27937080168175538</v>
      </c>
    </row>
    <row r="18" spans="2:24" x14ac:dyDescent="0.45">
      <c r="B18">
        <v>25</v>
      </c>
      <c r="C18" s="1">
        <v>2200000000</v>
      </c>
      <c r="D18">
        <v>-47.68</v>
      </c>
      <c r="E18">
        <v>0</v>
      </c>
      <c r="F18">
        <v>-146.22999999999999</v>
      </c>
      <c r="G18">
        <v>-128</v>
      </c>
      <c r="H18">
        <f t="shared" si="0"/>
        <v>-18.22999999999999</v>
      </c>
      <c r="K18">
        <v>30</v>
      </c>
      <c r="L18" s="1">
        <v>2200000000</v>
      </c>
      <c r="M18">
        <v>-43.69</v>
      </c>
      <c r="N18">
        <v>5</v>
      </c>
      <c r="O18">
        <v>-99</v>
      </c>
      <c r="P18">
        <v>-95.692999999999998</v>
      </c>
      <c r="Q18" s="2">
        <f t="shared" ref="Q18" si="3">O18-P18</f>
        <v>-3.3070000000000022</v>
      </c>
      <c r="W18">
        <v>7572.9769582370818</v>
      </c>
      <c r="X18">
        <v>13</v>
      </c>
    </row>
    <row r="19" spans="2:24" x14ac:dyDescent="0.45">
      <c r="B19">
        <v>25</v>
      </c>
      <c r="C19" s="1">
        <v>2200000000</v>
      </c>
      <c r="D19">
        <v>-47.68</v>
      </c>
      <c r="E19">
        <v>0</v>
      </c>
      <c r="F19">
        <v>-151.22999999999999</v>
      </c>
      <c r="G19">
        <v>-128.4</v>
      </c>
      <c r="H19">
        <f t="shared" si="0"/>
        <v>-22.829999999999984</v>
      </c>
      <c r="K19">
        <v>30</v>
      </c>
      <c r="L19" s="1">
        <v>2200000000</v>
      </c>
      <c r="M19">
        <v>-43.69</v>
      </c>
      <c r="N19">
        <v>5</v>
      </c>
      <c r="O19">
        <v>-100</v>
      </c>
      <c r="P19">
        <v>-96.622699999999995</v>
      </c>
      <c r="Q19" s="2">
        <f>O19-P19</f>
        <v>-3.3773000000000053</v>
      </c>
      <c r="R19" s="2">
        <v>-90.903400000000005</v>
      </c>
      <c r="W19">
        <v>591.05604515051323</v>
      </c>
      <c r="X19">
        <v>1.0146245828199869</v>
      </c>
    </row>
    <row r="20" spans="2:24" x14ac:dyDescent="0.45">
      <c r="B20">
        <v>25</v>
      </c>
      <c r="C20" s="1">
        <v>2200000000</v>
      </c>
      <c r="D20">
        <v>-47.68</v>
      </c>
      <c r="E20">
        <v>0</v>
      </c>
      <c r="F20">
        <v>-156.22999999999999</v>
      </c>
      <c r="G20">
        <v>-128.04</v>
      </c>
      <c r="H20">
        <f t="shared" si="0"/>
        <v>-28.189999999999998</v>
      </c>
      <c r="K20">
        <v>30</v>
      </c>
      <c r="L20" s="1">
        <v>2200000000</v>
      </c>
      <c r="M20">
        <v>-43.69</v>
      </c>
      <c r="N20">
        <v>5</v>
      </c>
      <c r="O20">
        <v>-100</v>
      </c>
      <c r="P20">
        <v>-96.860399999999998</v>
      </c>
      <c r="Q20" s="2">
        <f t="shared" ref="Q20:Q24" si="4">O20-P20</f>
        <v>-3.1396000000000015</v>
      </c>
    </row>
    <row r="21" spans="2:24" x14ac:dyDescent="0.45">
      <c r="B21">
        <v>0</v>
      </c>
      <c r="C21" s="1">
        <v>2200000000</v>
      </c>
      <c r="D21" t="s">
        <v>6</v>
      </c>
      <c r="E21">
        <v>0</v>
      </c>
      <c r="F21" t="s">
        <v>7</v>
      </c>
      <c r="G21">
        <v>-128.03</v>
      </c>
      <c r="H21" t="e">
        <f t="shared" si="0"/>
        <v>#VALUE!</v>
      </c>
      <c r="K21">
        <v>30</v>
      </c>
      <c r="L21" s="1">
        <v>2200000000</v>
      </c>
      <c r="M21">
        <v>-43.69</v>
      </c>
      <c r="N21">
        <v>5</v>
      </c>
      <c r="O21">
        <v>-100</v>
      </c>
      <c r="P21">
        <v>-97.119299999999996</v>
      </c>
      <c r="Q21" s="2">
        <f t="shared" si="4"/>
        <v>-2.8807000000000045</v>
      </c>
    </row>
    <row r="22" spans="2:24" x14ac:dyDescent="0.45">
      <c r="H22">
        <f t="shared" si="0"/>
        <v>0</v>
      </c>
      <c r="K22">
        <v>30</v>
      </c>
      <c r="L22" s="1">
        <v>2200000000</v>
      </c>
      <c r="M22">
        <v>-43.69</v>
      </c>
      <c r="N22">
        <v>5</v>
      </c>
      <c r="O22">
        <v>-100</v>
      </c>
      <c r="P22">
        <v>-96.883799999999994</v>
      </c>
      <c r="Q22" s="2">
        <f t="shared" si="4"/>
        <v>-3.1162000000000063</v>
      </c>
    </row>
    <row r="23" spans="2:24" x14ac:dyDescent="0.45">
      <c r="H23">
        <f t="shared" si="0"/>
        <v>0</v>
      </c>
      <c r="K23">
        <v>30</v>
      </c>
      <c r="L23" s="1">
        <v>2200000000</v>
      </c>
      <c r="M23">
        <v>-43.69</v>
      </c>
      <c r="N23">
        <v>5</v>
      </c>
      <c r="O23">
        <v>-100</v>
      </c>
      <c r="P23">
        <v>-96.867800000000003</v>
      </c>
      <c r="Q23" s="2">
        <f t="shared" si="4"/>
        <v>-3.1321999999999974</v>
      </c>
    </row>
    <row r="24" spans="2:24" x14ac:dyDescent="0.45">
      <c r="H24">
        <f t="shared" si="0"/>
        <v>0</v>
      </c>
      <c r="K24">
        <v>30</v>
      </c>
      <c r="L24" s="1">
        <v>2200000000</v>
      </c>
      <c r="M24">
        <v>-43.69</v>
      </c>
      <c r="N24">
        <v>5</v>
      </c>
      <c r="O24">
        <v>-100</v>
      </c>
      <c r="P24">
        <v>-96.654799999999994</v>
      </c>
      <c r="Q24" s="2">
        <f t="shared" si="4"/>
        <v>-3.3452000000000055</v>
      </c>
    </row>
    <row r="25" spans="2:24" x14ac:dyDescent="0.45">
      <c r="B25">
        <v>25</v>
      </c>
      <c r="C25" s="1">
        <v>2200000000</v>
      </c>
      <c r="D25">
        <v>-47.68</v>
      </c>
      <c r="E25">
        <v>5</v>
      </c>
      <c r="F25">
        <v>-101.23</v>
      </c>
      <c r="G25">
        <v>-98.91</v>
      </c>
      <c r="H25">
        <f t="shared" si="0"/>
        <v>-2.3200000000000074</v>
      </c>
      <c r="K25">
        <v>30</v>
      </c>
      <c r="L25" s="1">
        <v>2200000000</v>
      </c>
      <c r="M25">
        <v>-43.69</v>
      </c>
      <c r="N25">
        <v>5</v>
      </c>
      <c r="O25">
        <v>-105</v>
      </c>
      <c r="P25">
        <v>-101.8635</v>
      </c>
      <c r="Q25" s="2">
        <f>O25-P25</f>
        <v>-3.1364999999999981</v>
      </c>
      <c r="R25" s="2">
        <v>-95.775700000000001</v>
      </c>
    </row>
    <row r="26" spans="2:24" x14ac:dyDescent="0.45">
      <c r="B26">
        <v>25</v>
      </c>
      <c r="C26" s="1">
        <v>2200000000</v>
      </c>
      <c r="D26">
        <v>-47.68</v>
      </c>
      <c r="E26">
        <v>5</v>
      </c>
      <c r="F26">
        <v>-106.23</v>
      </c>
      <c r="G26">
        <v>-103.87</v>
      </c>
      <c r="H26">
        <f t="shared" si="0"/>
        <v>-2.3599999999999994</v>
      </c>
      <c r="K26">
        <v>30</v>
      </c>
      <c r="L26" s="1">
        <v>2200000000</v>
      </c>
      <c r="M26">
        <v>-43.69</v>
      </c>
      <c r="N26">
        <v>5</v>
      </c>
      <c r="O26">
        <v>-110</v>
      </c>
      <c r="P26">
        <v>-106.2634</v>
      </c>
      <c r="Q26" s="2">
        <f>O26-P26</f>
        <v>-3.7365999999999957</v>
      </c>
      <c r="R26" s="2">
        <v>-100.5509</v>
      </c>
    </row>
    <row r="27" spans="2:24" x14ac:dyDescent="0.45">
      <c r="B27">
        <v>25</v>
      </c>
      <c r="C27" s="1">
        <v>2200000000</v>
      </c>
      <c r="D27">
        <v>-47.68</v>
      </c>
      <c r="E27">
        <v>5</v>
      </c>
      <c r="F27">
        <v>-111.23</v>
      </c>
      <c r="G27">
        <v>-109.04</v>
      </c>
      <c r="H27">
        <f t="shared" si="0"/>
        <v>-2.1899999999999977</v>
      </c>
      <c r="K27">
        <v>30</v>
      </c>
      <c r="L27" s="1">
        <v>2200000000</v>
      </c>
      <c r="M27">
        <v>-43.69</v>
      </c>
      <c r="N27">
        <v>5</v>
      </c>
      <c r="O27">
        <v>-115</v>
      </c>
      <c r="P27">
        <v>-111.79949999999999</v>
      </c>
      <c r="Q27" s="2">
        <f>O27-P27</f>
        <v>-3.2005000000000052</v>
      </c>
      <c r="R27" s="2">
        <v>-105.8552</v>
      </c>
    </row>
    <row r="28" spans="2:24" x14ac:dyDescent="0.45">
      <c r="B28">
        <v>25</v>
      </c>
      <c r="C28" s="1">
        <v>2200000000</v>
      </c>
      <c r="D28">
        <v>-47.68</v>
      </c>
      <c r="E28">
        <v>5</v>
      </c>
      <c r="F28">
        <v>-116.23</v>
      </c>
      <c r="G28">
        <v>-114.06</v>
      </c>
      <c r="H28">
        <f t="shared" si="0"/>
        <v>-2.1700000000000017</v>
      </c>
      <c r="K28">
        <v>30</v>
      </c>
      <c r="L28" s="1">
        <v>2200000000</v>
      </c>
      <c r="M28">
        <v>-43.69</v>
      </c>
      <c r="N28">
        <v>5</v>
      </c>
      <c r="O28">
        <v>-120</v>
      </c>
      <c r="P28">
        <v>-116.4474</v>
      </c>
      <c r="Q28" s="2">
        <f>O28-P28</f>
        <v>-3.5525999999999982</v>
      </c>
      <c r="R28" s="2">
        <v>-110.3472</v>
      </c>
    </row>
    <row r="29" spans="2:24" x14ac:dyDescent="0.45">
      <c r="B29">
        <v>25</v>
      </c>
      <c r="C29" s="1">
        <v>2200000000</v>
      </c>
      <c r="D29">
        <v>-47.68</v>
      </c>
      <c r="E29">
        <v>5</v>
      </c>
      <c r="F29">
        <v>-121.23</v>
      </c>
      <c r="G29">
        <v>-118.65</v>
      </c>
      <c r="H29">
        <f t="shared" si="0"/>
        <v>-2.5799999999999983</v>
      </c>
      <c r="K29">
        <v>30</v>
      </c>
      <c r="L29" s="1">
        <v>2200000000</v>
      </c>
      <c r="M29">
        <v>-43.69</v>
      </c>
      <c r="N29">
        <v>5</v>
      </c>
      <c r="O29">
        <v>-125</v>
      </c>
      <c r="P29">
        <v>-120.9408</v>
      </c>
      <c r="Q29" s="2">
        <f>O29-P29</f>
        <v>-4.0592000000000041</v>
      </c>
      <c r="R29" s="2">
        <v>-115.72199999999999</v>
      </c>
    </row>
    <row r="30" spans="2:24" x14ac:dyDescent="0.45">
      <c r="B30">
        <v>25</v>
      </c>
      <c r="C30" s="1">
        <v>2200000000</v>
      </c>
      <c r="D30">
        <v>-47.68</v>
      </c>
      <c r="E30">
        <v>5</v>
      </c>
      <c r="F30">
        <v>-131.22999999999999</v>
      </c>
      <c r="G30">
        <v>-125.23</v>
      </c>
      <c r="H30">
        <f t="shared" si="0"/>
        <v>-5.9999999999999858</v>
      </c>
      <c r="K30">
        <v>30</v>
      </c>
      <c r="L30" s="1">
        <v>2200000000</v>
      </c>
      <c r="M30">
        <v>-43.69</v>
      </c>
      <c r="N30">
        <v>5</v>
      </c>
      <c r="O30">
        <v>-130</v>
      </c>
      <c r="P30">
        <v>-124.37479999999999</v>
      </c>
      <c r="Q30" s="2">
        <f>O30-P30</f>
        <v>-5.6252000000000066</v>
      </c>
      <c r="R30" s="2"/>
    </row>
    <row r="31" spans="2:24" x14ac:dyDescent="0.45">
      <c r="H31">
        <f t="shared" si="0"/>
        <v>0</v>
      </c>
      <c r="K31">
        <v>30</v>
      </c>
      <c r="L31" s="1">
        <v>2200000000</v>
      </c>
      <c r="M31">
        <v>-43.69</v>
      </c>
      <c r="N31">
        <v>5</v>
      </c>
      <c r="O31">
        <v>-135</v>
      </c>
      <c r="P31">
        <v>-126.5988</v>
      </c>
      <c r="Q31" s="2">
        <f>O31-P31</f>
        <v>-8.4012000000000029</v>
      </c>
      <c r="R31">
        <v>-123.7607</v>
      </c>
    </row>
    <row r="32" spans="2:24" x14ac:dyDescent="0.45">
      <c r="B32">
        <v>30</v>
      </c>
      <c r="C32" s="1">
        <v>2200000000</v>
      </c>
      <c r="D32">
        <v>-43.69</v>
      </c>
      <c r="E32">
        <v>5</v>
      </c>
      <c r="F32">
        <v>-95</v>
      </c>
      <c r="G32">
        <v>-91.73</v>
      </c>
      <c r="H32">
        <f>F32-G32</f>
        <v>-3.269999999999996</v>
      </c>
    </row>
    <row r="33" spans="2:10" x14ac:dyDescent="0.45">
      <c r="B33">
        <v>30</v>
      </c>
      <c r="C33" s="1">
        <v>2200000000</v>
      </c>
      <c r="D33">
        <v>-43.69</v>
      </c>
      <c r="E33">
        <v>5</v>
      </c>
      <c r="F33">
        <v>-100</v>
      </c>
      <c r="G33">
        <v>-96.31</v>
      </c>
      <c r="H33">
        <f t="shared" ref="H33:H37" si="5">F33-G33</f>
        <v>-3.6899999999999977</v>
      </c>
      <c r="J33" t="s">
        <v>17</v>
      </c>
    </row>
    <row r="34" spans="2:10" x14ac:dyDescent="0.45">
      <c r="B34">
        <v>30</v>
      </c>
      <c r="C34" s="1">
        <v>2200000000</v>
      </c>
      <c r="D34">
        <v>-43.69</v>
      </c>
      <c r="E34">
        <v>5</v>
      </c>
      <c r="F34">
        <v>-105</v>
      </c>
      <c r="G34">
        <v>-101.62</v>
      </c>
      <c r="H34">
        <f t="shared" si="5"/>
        <v>-3.3799999999999955</v>
      </c>
    </row>
    <row r="35" spans="2:10" x14ac:dyDescent="0.45">
      <c r="B35">
        <v>30</v>
      </c>
      <c r="C35" s="1">
        <v>2200000000</v>
      </c>
      <c r="D35">
        <v>-43.69</v>
      </c>
      <c r="E35">
        <v>5</v>
      </c>
      <c r="F35">
        <v>-110</v>
      </c>
      <c r="G35">
        <v>-106.63</v>
      </c>
      <c r="H35">
        <f t="shared" si="5"/>
        <v>-3.3700000000000045</v>
      </c>
    </row>
    <row r="36" spans="2:10" x14ac:dyDescent="0.45">
      <c r="B36">
        <v>30</v>
      </c>
      <c r="C36" s="1">
        <v>2200000000</v>
      </c>
      <c r="D36">
        <v>-43.69</v>
      </c>
      <c r="E36">
        <v>5</v>
      </c>
      <c r="F36">
        <v>-115</v>
      </c>
      <c r="G36">
        <v>-111.48</v>
      </c>
      <c r="H36">
        <f t="shared" si="5"/>
        <v>-3.519999999999996</v>
      </c>
    </row>
    <row r="37" spans="2:10" x14ac:dyDescent="0.45">
      <c r="B37">
        <v>30</v>
      </c>
      <c r="C37" s="1">
        <v>2200000000</v>
      </c>
      <c r="D37">
        <v>-43.69</v>
      </c>
      <c r="E37">
        <v>5</v>
      </c>
      <c r="F37">
        <v>-120</v>
      </c>
      <c r="G37">
        <v>-116.24</v>
      </c>
      <c r="H37">
        <f t="shared" si="5"/>
        <v>-3.7600000000000051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Winston</dc:creator>
  <cp:lastModifiedBy>Wang, Winston</cp:lastModifiedBy>
  <dcterms:created xsi:type="dcterms:W3CDTF">2025-07-23T22:00:46Z</dcterms:created>
  <dcterms:modified xsi:type="dcterms:W3CDTF">2025-08-06T18:29:28Z</dcterms:modified>
</cp:coreProperties>
</file>